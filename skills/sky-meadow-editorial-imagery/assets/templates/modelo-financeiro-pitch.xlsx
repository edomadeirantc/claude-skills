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missas" state="visible" r:id="rId4"/>
    <sheet sheetId="2" name="Mensal ano 1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<sst xmlns="http://schemas.openxmlformats.org/spreadsheetml/2006/main" count="75" uniqueCount="67">
  <si>
    <t>Premissa (edite as células azuis)</t>
  </si>
  <si>
    <t>Valor</t>
  </si>
  <si>
    <t>Fonte / observação</t>
  </si>
  <si>
    <t>Estabelecimentos agropecuários no Paraná</t>
  </si>
  <si>
    <t>IBGE, Censo Agropecuário 2017</t>
  </si>
  <si>
    <t>% pequenos produtores (agricultura familiar)</t>
  </si>
  <si>
    <t>Informado: 75% (IDR-Paraná / IBGE 2017)</t>
  </si>
  <si>
    <t>Pequenos produtores no Paraná</t>
  </si>
  <si>
    <t>Calculado</t>
  </si>
  <si>
    <t>Meta ano 1 (% dos pequenos)</t>
  </si>
  <si>
    <t>Informado: 5%</t>
  </si>
  <si>
    <t>Meta de produtores no fim do ano 1</t>
  </si>
  <si>
    <t>Informado: 11.450 (5% de 228.866 = 11.443)</t>
  </si>
  <si>
    <t>Mensalidade média por produtor (R$)</t>
  </si>
  <si>
    <t>Informado: faixa R$ 150–400; base conservadora no piso</t>
  </si>
  <si>
    <t>Salário mínimo 2026 (R$)</t>
  </si>
  <si>
    <t>Decreto: R$ 1.621 desde 01/01/2026</t>
  </si>
  <si>
    <t>Piso do agrônomo, 8 h/dia (R$)</t>
  </si>
  <si>
    <t>Lei 4.950-A/66: 8,5 salários mínimos</t>
  </si>
  <si>
    <t>Fator de encargos CLT</t>
  </si>
  <si>
    <t>Estimativa; confirmar com o contador</t>
  </si>
  <si>
    <t>Agrônomos fixos a campo</t>
  </si>
  <si>
    <t>Informado: 2</t>
  </si>
  <si>
    <t>Programação, 1 pessoa (R$/mês, PJ)</t>
  </si>
  <si>
    <t>Informado: 1 pessoa; valor estimado</t>
  </si>
  <si>
    <t>Marketing, 1 pessoa (R$/mês, PJ)</t>
  </si>
  <si>
    <t>Administrativo, contador, CREA/ART (R$/mês)</t>
  </si>
  <si>
    <t>Estimativa</t>
  </si>
  <si>
    <t>Ferramentas e softwares (R$/mês)</t>
  </si>
  <si>
    <t>Servidores + IA + WhatsApp por produtor ativo (R$/mês)</t>
  </si>
  <si>
    <t>% de produtores que sobem para o agrônomo por mês</t>
  </si>
  <si>
    <t>Estimativa: a IA resolve a rotina</t>
  </si>
  <si>
    <t>Pagamento ao agrônomo parceiro por caso/receituário (R$)</t>
  </si>
  <si>
    <t>Informado: por caso e receituário, sem vínculo; valor estimado</t>
  </si>
  <si>
    <t>Taxa de meios de pagamento (% da receita)</t>
  </si>
  <si>
    <t>Impostos sobre a receita</t>
  </si>
  <si>
    <t>Estimativa Lucro Presumido + ISS; confirmar com o contador</t>
  </si>
  <si>
    <t>Custo de aquisição por novo produtor - CAC (R$)</t>
  </si>
  <si>
    <t>Estimativa: cooperativas, sindicatos, eventos</t>
  </si>
  <si>
    <t>Cancelamento mensal (churn)</t>
  </si>
  <si>
    <t>Agricultores familiares no Brasil</t>
  </si>
  <si>
    <t>Mês</t>
  </si>
  <si>
    <t>Novos</t>
  </si>
  <si>
    <t>Ativos</t>
  </si>
  <si>
    <t>Receita</t>
  </si>
  <si>
    <t>Impostos</t>
  </si>
  <si>
    <t>Taxas pgto</t>
  </si>
  <si>
    <t>Infra+IA</t>
  </si>
  <si>
    <t>Agrônomo por caso</t>
  </si>
  <si>
    <t>Aquisição (CAC)</t>
  </si>
  <si>
    <t>Equipe fixa</t>
  </si>
  <si>
    <t>Adm+ferram.</t>
  </si>
  <si>
    <t>Custo total</t>
  </si>
  <si>
    <t>Lucro</t>
  </si>
  <si>
    <t>Lucro acumulado</t>
  </si>
  <si>
    <t>Ano 1</t>
  </si>
  <si>
    <t/>
  </si>
  <si>
    <t>Indicador</t>
  </si>
  <si>
    <t>Receita ano 1</t>
  </si>
  <si>
    <t>Custo total ano 1</t>
  </si>
  <si>
    <t>Lucro ano 1</t>
  </si>
  <si>
    <t>Margem ano 1</t>
  </si>
  <si>
    <t>Margem de contribuição por produtor/mês</t>
  </si>
  <si>
    <t>Custo fixo mensal</t>
  </si>
  <si>
    <t>Ponto de equilíbrio (produtores ativos)</t>
  </si>
  <si>
    <t>Mercado Paraná (pequenos × mensalidade × 12)</t>
  </si>
  <si>
    <t>Mercado Brasil (agric. familiar × mensalidade ×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</si>
</sst>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&quot;R$&quot; #,##0;[Red]-&quot;R$&quot; #,##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0" fillId="2" borderId="0" xfId="0" applyNumberFormat="1" applyFill="1"/>
    <xf numFmtId="164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2" fontId="0" fillId="2" borderId="0" xfId="0" applyNumberFormat="1" applyFill="1"/>
    <xf numFmtId="165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54" customWidth="1"/>
    <col min="2" max="2" width="16" customWidth="1"/>
    <col min="3" max="3" width="7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305154</v>
      </c>
      <c r="C2" t="s">
        <v>4</v>
      </c>
    </row>
    <row r="3" spans="1:3" x14ac:dyDescent="0.25">
      <c r="A3" t="s">
        <v>5</v>
      </c>
      <c r="B3" s="3">
        <v>0.75</v>
      </c>
      <c r="C3" t="s">
        <v>6</v>
      </c>
    </row>
    <row r="4" spans="1:3" x14ac:dyDescent="0.25">
      <c r="A4" t="s">
        <v>7</v>
      </c>
      <c r="B4" s="4">
        <f>B2*B3</f>
        <v>228865.5</v>
      </c>
      <c r="C4" t="s">
        <v>8</v>
      </c>
    </row>
    <row r="5" spans="1:3" x14ac:dyDescent="0.25">
      <c r="A5" t="s">
        <v>9</v>
      </c>
      <c r="B5" s="3">
        <v>0.05</v>
      </c>
      <c r="C5" t="s">
        <v>10</v>
      </c>
    </row>
    <row r="6" spans="1:3" x14ac:dyDescent="0.25">
      <c r="A6" t="s">
        <v>11</v>
      </c>
      <c r="B6" s="2">
        <v>11450</v>
      </c>
      <c r="C6" t="s">
        <v>12</v>
      </c>
    </row>
    <row r="7" spans="1:3" x14ac:dyDescent="0.25">
      <c r="A7" t="s">
        <v>13</v>
      </c>
      <c r="B7" s="5">
        <v>150</v>
      </c>
      <c r="C7" t="s">
        <v>14</v>
      </c>
    </row>
    <row r="8" spans="1:3" x14ac:dyDescent="0.25">
      <c r="A8" t="s">
        <v>15</v>
      </c>
      <c r="B8" s="5">
        <v>1621</v>
      </c>
      <c r="C8" t="s">
        <v>16</v>
      </c>
    </row>
    <row r="9" spans="1:3" x14ac:dyDescent="0.25">
      <c r="A9" t="s">
        <v>17</v>
      </c>
      <c r="B9" s="6">
        <f>8.5*B8</f>
        <v>13778.5</v>
      </c>
      <c r="C9" t="s">
        <v>18</v>
      </c>
    </row>
    <row r="10" spans="1:3" x14ac:dyDescent="0.25">
      <c r="A10" t="s">
        <v>19</v>
      </c>
      <c r="B10" s="7">
        <v>1.7</v>
      </c>
      <c r="C10" t="s">
        <v>20</v>
      </c>
    </row>
    <row r="11" spans="1:3" x14ac:dyDescent="0.25">
      <c r="A11" t="s">
        <v>21</v>
      </c>
      <c r="B11" s="2">
        <v>2</v>
      </c>
      <c r="C11" t="s">
        <v>22</v>
      </c>
    </row>
    <row r="12" spans="1:3" x14ac:dyDescent="0.25">
      <c r="A12" t="s">
        <v>23</v>
      </c>
      <c r="B12" s="5">
        <v>10000</v>
      </c>
      <c r="C12" t="s">
        <v>24</v>
      </c>
    </row>
    <row r="13" spans="1:3" x14ac:dyDescent="0.25">
      <c r="A13" t="s">
        <v>25</v>
      </c>
      <c r="B13" s="5">
        <v>6000</v>
      </c>
      <c r="C13" t="s">
        <v>24</v>
      </c>
    </row>
    <row r="14" spans="1:3" x14ac:dyDescent="0.25">
      <c r="A14" t="s">
        <v>26</v>
      </c>
      <c r="B14" s="5">
        <v>3000</v>
      </c>
      <c r="C14" t="s">
        <v>27</v>
      </c>
    </row>
    <row r="15" spans="1:3" x14ac:dyDescent="0.25">
      <c r="A15" t="s">
        <v>28</v>
      </c>
      <c r="B15" s="5">
        <v>1000</v>
      </c>
      <c r="C15" t="s">
        <v>27</v>
      </c>
    </row>
    <row r="16" spans="1:3" x14ac:dyDescent="0.25">
      <c r="A16" t="s">
        <v>29</v>
      </c>
      <c r="B16" s="5">
        <v>5</v>
      </c>
      <c r="C16" t="s">
        <v>27</v>
      </c>
    </row>
    <row r="17" spans="1:3" x14ac:dyDescent="0.25">
      <c r="A17" t="s">
        <v>30</v>
      </c>
      <c r="B17" s="3">
        <v>0.1</v>
      </c>
      <c r="C17" t="s">
        <v>31</v>
      </c>
    </row>
    <row r="18" spans="1:3" x14ac:dyDescent="0.25">
      <c r="A18" t="s">
        <v>32</v>
      </c>
      <c r="B18" s="5">
        <v>40</v>
      </c>
      <c r="C18" t="s">
        <v>33</v>
      </c>
    </row>
    <row r="19" spans="1:3" x14ac:dyDescent="0.25">
      <c r="A19" t="s">
        <v>34</v>
      </c>
      <c r="B19" s="3">
        <v>0.035</v>
      </c>
      <c r="C19" t="s">
        <v>27</v>
      </c>
    </row>
    <row r="20" spans="1:3" x14ac:dyDescent="0.25">
      <c r="A20" t="s">
        <v>35</v>
      </c>
      <c r="B20" s="3">
        <v>0.15</v>
      </c>
      <c r="C20" t="s">
        <v>36</v>
      </c>
    </row>
    <row r="21" spans="1:3" x14ac:dyDescent="0.25">
      <c r="A21" t="s">
        <v>37</v>
      </c>
      <c r="B21" s="5">
        <v>60</v>
      </c>
      <c r="C21" t="s">
        <v>38</v>
      </c>
    </row>
    <row r="22" spans="1:3" x14ac:dyDescent="0.25">
      <c r="A22" t="s">
        <v>39</v>
      </c>
      <c r="B22" s="3">
        <v>0.02</v>
      </c>
      <c r="C22" t="s">
        <v>27</v>
      </c>
    </row>
    <row r="23" spans="1:3" x14ac:dyDescent="0.25">
      <c r="A23" t="s">
        <v>40</v>
      </c>
      <c r="B23" s="2">
        <v>3897408</v>
      </c>
      <c r="C2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6" customWidth="1"/>
    <col min="2" max="14" width="16" customWidth="1"/>
  </cols>
  <sheetData>
    <row r="1" spans="1:14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</row>
    <row r="2" spans="1:14" x14ac:dyDescent="0.25">
      <c r="A2" s="4">
        <v>1</v>
      </c>
      <c r="B2" s="4">
        <f>Premissas!$B$6/12</f>
        <v>954.1666666666666</v>
      </c>
      <c r="C2" s="4">
        <f>0*(1-Premissas!$B$22)+B2</f>
        <v>954.1666666666666</v>
      </c>
      <c r="D2" s="6">
        <f>C2*Premissas!$B$7</f>
        <v>143125</v>
      </c>
      <c r="E2" s="6">
        <f>D2*Premissas!$B$20</f>
        <v>21468.75</v>
      </c>
      <c r="F2" s="6">
        <f>D2*Premissas!$B$19</f>
        <v>5009.375000000001</v>
      </c>
      <c r="G2" s="6">
        <f>C2*Premissas!$B$16</f>
        <v>4770.833333333333</v>
      </c>
      <c r="H2" s="6">
        <f>C2*Premissas!$B$17*Premissas!$B$18</f>
        <v>3816.666666666667</v>
      </c>
      <c r="I2" s="6">
        <f>B2*Premissas!$B$21</f>
        <v>57250</v>
      </c>
      <c r="J2" s="6">
        <f>Premissas!$B$12+Premissas!$B$13+Premissas!$B$11*Premissas!$B$9*Premissas!$B$10</f>
        <v>62846.9</v>
      </c>
      <c r="K2" s="6">
        <f>Premissas!$B$14+Premissas!$B$15</f>
        <v>4000</v>
      </c>
      <c r="L2" s="6">
        <f>SUM(E2:K2)</f>
        <v>159162.525</v>
      </c>
      <c r="M2" s="6">
        <f>D2-L2</f>
        <v>-16037.524999999994</v>
      </c>
      <c r="N2" s="6">
        <f>M2</f>
        <v>-16037.524999999994</v>
      </c>
    </row>
    <row r="3" spans="1:14" x14ac:dyDescent="0.25">
      <c r="A3" s="4">
        <v>2</v>
      </c>
      <c r="B3" s="4">
        <f>Premissas!$B$6/12</f>
        <v>954.1666666666666</v>
      </c>
      <c r="C3" s="4">
        <f>C2*(1-Premissas!$B$22)+B3</f>
        <v>1889.25</v>
      </c>
      <c r="D3" s="6">
        <f>C3*Premissas!$B$7</f>
        <v>283387.5</v>
      </c>
      <c r="E3" s="6">
        <f>D3*Premissas!$B$20</f>
        <v>42508.125</v>
      </c>
      <c r="F3" s="6">
        <f>D3*Premissas!$B$19</f>
        <v>9918.562500000002</v>
      </c>
      <c r="G3" s="6">
        <f>C3*Premissas!$B$16</f>
        <v>9446.25</v>
      </c>
      <c r="H3" s="6">
        <f>C3*Premissas!$B$17*Premissas!$B$18</f>
        <v>7557</v>
      </c>
      <c r="I3" s="6">
        <f>B3*Premissas!$B$21</f>
        <v>57250</v>
      </c>
      <c r="J3" s="6">
        <f>Premissas!$B$12+Premissas!$B$13+Premissas!$B$11*Premissas!$B$9*Premissas!$B$10</f>
        <v>62846.9</v>
      </c>
      <c r="K3" s="6">
        <f>Premissas!$B$14+Premissas!$B$15</f>
        <v>4000</v>
      </c>
      <c r="L3" s="6">
        <f>SUM(E3:K3)</f>
        <v>193526.8375</v>
      </c>
      <c r="M3" s="6">
        <f>D3-L3</f>
        <v>89860.6625</v>
      </c>
      <c r="N3" s="6">
        <f>N2+M3</f>
        <v>73823.13750000001</v>
      </c>
    </row>
    <row r="4" spans="1:14" x14ac:dyDescent="0.25">
      <c r="A4" s="4">
        <v>3</v>
      </c>
      <c r="B4" s="4">
        <f>Premissas!$B$6/12</f>
        <v>954.1666666666666</v>
      </c>
      <c r="C4" s="4">
        <f>C3*(1-Premissas!$B$22)+B4</f>
        <v>2805.6316666666667</v>
      </c>
      <c r="D4" s="6">
        <f>C4*Premissas!$B$7</f>
        <v>420844.75</v>
      </c>
      <c r="E4" s="6">
        <f>D4*Premissas!$B$20</f>
        <v>63126.712499999994</v>
      </c>
      <c r="F4" s="6">
        <f>D4*Premissas!$B$19</f>
        <v>14729.566250000002</v>
      </c>
      <c r="G4" s="6">
        <f>C4*Premissas!$B$16</f>
        <v>14028.158333333333</v>
      </c>
      <c r="H4" s="6">
        <f>C4*Premissas!$B$17*Premissas!$B$18</f>
        <v>11222.526666666668</v>
      </c>
      <c r="I4" s="6">
        <f>B4*Premissas!$B$21</f>
        <v>57250</v>
      </c>
      <c r="J4" s="6">
        <f>Premissas!$B$12+Premissas!$B$13+Premissas!$B$11*Premissas!$B$9*Premissas!$B$10</f>
        <v>62846.9</v>
      </c>
      <c r="K4" s="6">
        <f>Premissas!$B$14+Premissas!$B$15</f>
        <v>4000</v>
      </c>
      <c r="L4" s="6">
        <f>SUM(E4:K4)</f>
        <v>227203.86375</v>
      </c>
      <c r="M4" s="6">
        <f>D4-L4</f>
        <v>193640.88625</v>
      </c>
      <c r="N4" s="6">
        <f>N3+M4</f>
        <v>267464.02375000005</v>
      </c>
    </row>
    <row r="5" spans="1:14" x14ac:dyDescent="0.25">
      <c r="A5" s="4">
        <v>4</v>
      </c>
      <c r="B5" s="4">
        <f>Premissas!$B$6/12</f>
        <v>954.1666666666666</v>
      </c>
      <c r="C5" s="4">
        <f>C4*(1-Premissas!$B$22)+B5</f>
        <v>3703.6857</v>
      </c>
      <c r="D5" s="6">
        <f>C5*Premissas!$B$7</f>
        <v>555552.855</v>
      </c>
      <c r="E5" s="6">
        <f>D5*Premissas!$B$20</f>
        <v>83332.92825</v>
      </c>
      <c r="F5" s="6">
        <f>D5*Premissas!$B$19</f>
        <v>19444.349925000002</v>
      </c>
      <c r="G5" s="6">
        <f>C5*Premissas!$B$16</f>
        <v>18518.4285</v>
      </c>
      <c r="H5" s="6">
        <f>C5*Premissas!$B$17*Premissas!$B$18</f>
        <v>14814.742800000002</v>
      </c>
      <c r="I5" s="6">
        <f>B5*Premissas!$B$21</f>
        <v>57250</v>
      </c>
      <c r="J5" s="6">
        <f>Premissas!$B$12+Premissas!$B$13+Premissas!$B$11*Premissas!$B$9*Premissas!$B$10</f>
        <v>62846.9</v>
      </c>
      <c r="K5" s="6">
        <f>Premissas!$B$14+Premissas!$B$15</f>
        <v>4000</v>
      </c>
      <c r="L5" s="6">
        <f>SUM(E5:K5)</f>
        <v>260207.349475</v>
      </c>
      <c r="M5" s="6">
        <f>D5-L5</f>
        <v>295345.505525</v>
      </c>
      <c r="N5" s="6">
        <f>N4+M5</f>
        <v>562809.5292750001</v>
      </c>
    </row>
    <row r="6" spans="1:14" x14ac:dyDescent="0.25">
      <c r="A6" s="4">
        <v>5</v>
      </c>
      <c r="B6" s="4">
        <f>Premissas!$B$6/12</f>
        <v>954.1666666666666</v>
      </c>
      <c r="C6" s="4">
        <f>C5*(1-Premissas!$B$22)+B6</f>
        <v>4583.778652666667</v>
      </c>
      <c r="D6" s="6">
        <f>C6*Premissas!$B$7</f>
        <v>687566.7979</v>
      </c>
      <c r="E6" s="6">
        <f>D6*Premissas!$B$20</f>
        <v>103135.01968499999</v>
      </c>
      <c r="F6" s="6">
        <f>D6*Premissas!$B$19</f>
        <v>24064.837926500004</v>
      </c>
      <c r="G6" s="6">
        <f>C6*Premissas!$B$16</f>
        <v>22918.893263333335</v>
      </c>
      <c r="H6" s="6">
        <f>C6*Premissas!$B$17*Premissas!$B$18</f>
        <v>18335.11461066667</v>
      </c>
      <c r="I6" s="6">
        <f>B6*Premissas!$B$21</f>
        <v>57250</v>
      </c>
      <c r="J6" s="6">
        <f>Premissas!$B$12+Premissas!$B$13+Premissas!$B$11*Premissas!$B$9*Premissas!$B$10</f>
        <v>62846.9</v>
      </c>
      <c r="K6" s="6">
        <f>Premissas!$B$14+Premissas!$B$15</f>
        <v>4000</v>
      </c>
      <c r="L6" s="6">
        <f>SUM(E6:K6)</f>
        <v>292550.7654855</v>
      </c>
      <c r="M6" s="6">
        <f>D6-L6</f>
        <v>395016.0324145</v>
      </c>
      <c r="N6" s="6">
        <f>N5+M6</f>
        <v>957825.5616895001</v>
      </c>
    </row>
    <row r="7" spans="1:14" x14ac:dyDescent="0.25">
      <c r="A7" s="4">
        <v>6</v>
      </c>
      <c r="B7" s="4">
        <f>Premissas!$B$6/12</f>
        <v>954.1666666666666</v>
      </c>
      <c r="C7" s="4">
        <f>C6*(1-Premissas!$B$22)+B7</f>
        <v>5446.269746280001</v>
      </c>
      <c r="D7" s="6">
        <f>C7*Premissas!$B$7</f>
        <v>816940.4619420001</v>
      </c>
      <c r="E7" s="6">
        <f>D7*Premissas!$B$20</f>
        <v>122541.06929130001</v>
      </c>
      <c r="F7" s="6">
        <f>D7*Premissas!$B$19</f>
        <v>28592.916167970005</v>
      </c>
      <c r="G7" s="6">
        <f>C7*Premissas!$B$16</f>
        <v>27231.3487314</v>
      </c>
      <c r="H7" s="6">
        <f>C7*Premissas!$B$17*Premissas!$B$18</f>
        <v>21785.078985120002</v>
      </c>
      <c r="I7" s="6">
        <f>B7*Premissas!$B$21</f>
        <v>57250</v>
      </c>
      <c r="J7" s="6">
        <f>Premissas!$B$12+Premissas!$B$13+Premissas!$B$11*Premissas!$B$9*Premissas!$B$10</f>
        <v>62846.9</v>
      </c>
      <c r="K7" s="6">
        <f>Premissas!$B$14+Premissas!$B$15</f>
        <v>4000</v>
      </c>
      <c r="L7" s="6">
        <f>SUM(E7:K7)</f>
        <v>324247.31317579</v>
      </c>
      <c r="M7" s="6">
        <f>D7-L7</f>
        <v>492693.14876621007</v>
      </c>
      <c r="N7" s="6">
        <f>N6+M7</f>
        <v>1450518.71045571</v>
      </c>
    </row>
    <row r="8" spans="1:14" x14ac:dyDescent="0.25">
      <c r="A8" s="4">
        <v>7</v>
      </c>
      <c r="B8" s="4">
        <f>Premissas!$B$6/12</f>
        <v>954.1666666666666</v>
      </c>
      <c r="C8" s="4">
        <f>C7*(1-Premissas!$B$22)+B8</f>
        <v>6291.511018021068</v>
      </c>
      <c r="D8" s="6">
        <f>C8*Premissas!$B$7</f>
        <v>943726.6527031602</v>
      </c>
      <c r="E8" s="6">
        <f>D8*Premissas!$B$20</f>
        <v>141558.997905474</v>
      </c>
      <c r="F8" s="6">
        <f>D8*Premissas!$B$19</f>
        <v>33030.43284461061</v>
      </c>
      <c r="G8" s="6">
        <f>C8*Premissas!$B$16</f>
        <v>31457.55509010534</v>
      </c>
      <c r="H8" s="6">
        <f>C8*Premissas!$B$17*Premissas!$B$18</f>
        <v>25166.044072084274</v>
      </c>
      <c r="I8" s="6">
        <f>B8*Premissas!$B$21</f>
        <v>57250</v>
      </c>
      <c r="J8" s="6">
        <f>Premissas!$B$12+Premissas!$B$13+Premissas!$B$11*Premissas!$B$9*Premissas!$B$10</f>
        <v>62846.9</v>
      </c>
      <c r="K8" s="6">
        <f>Premissas!$B$14+Premissas!$B$15</f>
        <v>4000</v>
      </c>
      <c r="L8" s="6">
        <f>SUM(E8:K8)</f>
        <v>355309.92991227424</v>
      </c>
      <c r="M8" s="6">
        <f>D8-L8</f>
        <v>588416.722790886</v>
      </c>
      <c r="N8" s="6">
        <f>N7+M8</f>
        <v>2038935.433246596</v>
      </c>
    </row>
    <row r="9" spans="1:14" x14ac:dyDescent="0.25">
      <c r="A9" s="4">
        <v>8</v>
      </c>
      <c r="B9" s="4">
        <f>Premissas!$B$6/12</f>
        <v>954.1666666666666</v>
      </c>
      <c r="C9" s="4">
        <f>C8*(1-Premissas!$B$22)+B9</f>
        <v>7119.847464327313</v>
      </c>
      <c r="D9" s="6">
        <f>C9*Premissas!$B$7</f>
        <v>1067977.1196490969</v>
      </c>
      <c r="E9" s="6">
        <f>D9*Premissas!$B$20</f>
        <v>160196.56794736453</v>
      </c>
      <c r="F9" s="6">
        <f>D9*Premissas!$B$19</f>
        <v>37379.19918771839</v>
      </c>
      <c r="G9" s="6">
        <f>C9*Premissas!$B$16</f>
        <v>35599.23732163657</v>
      </c>
      <c r="H9" s="6">
        <f>C9*Premissas!$B$17*Premissas!$B$18</f>
        <v>28479.389857309252</v>
      </c>
      <c r="I9" s="6">
        <f>B9*Premissas!$B$21</f>
        <v>57250</v>
      </c>
      <c r="J9" s="6">
        <f>Premissas!$B$12+Premissas!$B$13+Premissas!$B$11*Premissas!$B$9*Premissas!$B$10</f>
        <v>62846.9</v>
      </c>
      <c r="K9" s="6">
        <f>Premissas!$B$14+Premissas!$B$15</f>
        <v>4000</v>
      </c>
      <c r="L9" s="6">
        <f>SUM(E9:K9)</f>
        <v>385751.2943140288</v>
      </c>
      <c r="M9" s="6">
        <f>D9-L9</f>
        <v>682225.825335068</v>
      </c>
      <c r="N9" s="6">
        <f>N8+M9</f>
        <v>2721161.258581664</v>
      </c>
    </row>
    <row r="10" spans="1:14" x14ac:dyDescent="0.25">
      <c r="A10" s="4">
        <v>9</v>
      </c>
      <c r="B10" s="4">
        <f>Premissas!$B$6/12</f>
        <v>954.1666666666666</v>
      </c>
      <c r="C10" s="4">
        <f>C9*(1-Premissas!$B$22)+B10</f>
        <v>7931.617181707434</v>
      </c>
      <c r="D10" s="6">
        <f>C10*Premissas!$B$7</f>
        <v>1189742.5772561152</v>
      </c>
      <c r="E10" s="6">
        <f>D10*Premissas!$B$20</f>
        <v>178461.38658841726</v>
      </c>
      <c r="F10" s="6">
        <f>D10*Premissas!$B$19</f>
        <v>41640.99020396404</v>
      </c>
      <c r="G10" s="6">
        <f>C10*Premissas!$B$16</f>
        <v>39658.08590853717</v>
      </c>
      <c r="H10" s="6">
        <f>C10*Premissas!$B$17*Premissas!$B$18</f>
        <v>31726.468726829735</v>
      </c>
      <c r="I10" s="6">
        <f>B10*Premissas!$B$21</f>
        <v>57250</v>
      </c>
      <c r="J10" s="6">
        <f>Premissas!$B$12+Premissas!$B$13+Premissas!$B$11*Premissas!$B$9*Premissas!$B$10</f>
        <v>62846.9</v>
      </c>
      <c r="K10" s="6">
        <f>Premissas!$B$14+Premissas!$B$15</f>
        <v>4000</v>
      </c>
      <c r="L10" s="6">
        <f>SUM(E10:K10)</f>
        <v>415583.8314277482</v>
      </c>
      <c r="M10" s="6">
        <f>D10-L10</f>
        <v>774158.745828367</v>
      </c>
      <c r="N10" s="6">
        <f>N9+M10</f>
        <v>3495320.004410031</v>
      </c>
    </row>
    <row r="11" spans="1:14" x14ac:dyDescent="0.25">
      <c r="A11" s="4">
        <v>10</v>
      </c>
      <c r="B11" s="4">
        <f>Premissas!$B$6/12</f>
        <v>954.1666666666666</v>
      </c>
      <c r="C11" s="4">
        <f>C10*(1-Premissas!$B$22)+B11</f>
        <v>8727.151504739952</v>
      </c>
      <c r="D11" s="6">
        <f>C11*Premissas!$B$7</f>
        <v>1309072.7257109927</v>
      </c>
      <c r="E11" s="6">
        <f>D11*Premissas!$B$20</f>
        <v>196360.9088566489</v>
      </c>
      <c r="F11" s="6">
        <f>D11*Premissas!$B$19</f>
        <v>45817.54539988475</v>
      </c>
      <c r="G11" s="6">
        <f>C11*Premissas!$B$16</f>
        <v>43635.75752369976</v>
      </c>
      <c r="H11" s="6">
        <f>C11*Premissas!$B$17*Premissas!$B$18</f>
        <v>34908.60601895981</v>
      </c>
      <c r="I11" s="6">
        <f>B11*Premissas!$B$21</f>
        <v>57250</v>
      </c>
      <c r="J11" s="6">
        <f>Premissas!$B$12+Premissas!$B$13+Premissas!$B$11*Premissas!$B$9*Premissas!$B$10</f>
        <v>62846.9</v>
      </c>
      <c r="K11" s="6">
        <f>Premissas!$B$14+Premissas!$B$15</f>
        <v>4000</v>
      </c>
      <c r="L11" s="6">
        <f>SUM(E11:K11)</f>
        <v>444819.7177991932</v>
      </c>
      <c r="M11" s="6">
        <f>D11-L11</f>
        <v>864253.0079117995</v>
      </c>
      <c r="N11" s="6">
        <f>N10+M11</f>
        <v>4359573.01232183</v>
      </c>
    </row>
    <row r="12" spans="1:14" x14ac:dyDescent="0.25">
      <c r="A12" s="4">
        <v>11</v>
      </c>
      <c r="B12" s="4">
        <f>Premissas!$B$6/12</f>
        <v>954.1666666666666</v>
      </c>
      <c r="C12" s="4">
        <f>C11*(1-Premissas!$B$22)+B12</f>
        <v>9506.775141311819</v>
      </c>
      <c r="D12" s="6">
        <f>C12*Premissas!$B$7</f>
        <v>1426016.2711967728</v>
      </c>
      <c r="E12" s="6">
        <f>D12*Premissas!$B$20</f>
        <v>213902.44067951592</v>
      </c>
      <c r="F12" s="6">
        <f>D12*Premissas!$B$19</f>
        <v>49910.56949188705</v>
      </c>
      <c r="G12" s="6">
        <f>C12*Premissas!$B$16</f>
        <v>47533.87570655909</v>
      </c>
      <c r="H12" s="6">
        <f>C12*Premissas!$B$17*Premissas!$B$18</f>
        <v>38027.100565247274</v>
      </c>
      <c r="I12" s="6">
        <f>B12*Premissas!$B$21</f>
        <v>57250</v>
      </c>
      <c r="J12" s="6">
        <f>Premissas!$B$12+Premissas!$B$13+Premissas!$B$11*Premissas!$B$9*Premissas!$B$10</f>
        <v>62846.9</v>
      </c>
      <c r="K12" s="6">
        <f>Premissas!$B$14+Premissas!$B$15</f>
        <v>4000</v>
      </c>
      <c r="L12" s="6">
        <f>SUM(E12:K12)</f>
        <v>473470.88644320937</v>
      </c>
      <c r="M12" s="6">
        <f>D12-L12</f>
        <v>952545.3847535634</v>
      </c>
      <c r="N12" s="6">
        <f>N11+M12</f>
        <v>5312118.397075393</v>
      </c>
    </row>
    <row r="13" spans="1:14" x14ac:dyDescent="0.25">
      <c r="A13" s="4">
        <v>12</v>
      </c>
      <c r="B13" s="4">
        <f>Premissas!$B$6/12</f>
        <v>954.1666666666666</v>
      </c>
      <c r="C13" s="4">
        <f>C12*(1-Premissas!$B$22)+B13</f>
        <v>10270.806305152248</v>
      </c>
      <c r="D13" s="6">
        <f>C13*Premissas!$B$7</f>
        <v>1540620.9457728371</v>
      </c>
      <c r="E13" s="6">
        <f>D13*Premissas!$B$20</f>
        <v>231093.14186592557</v>
      </c>
      <c r="F13" s="6">
        <f>D13*Premissas!$B$19</f>
        <v>53921.73310204931</v>
      </c>
      <c r="G13" s="6">
        <f>C13*Premissas!$B$16</f>
        <v>51354.03152576124</v>
      </c>
      <c r="H13" s="6">
        <f>C13*Premissas!$B$17*Premissas!$B$18</f>
        <v>41083.22522060899</v>
      </c>
      <c r="I13" s="6">
        <f>B13*Premissas!$B$21</f>
        <v>57250</v>
      </c>
      <c r="J13" s="6">
        <f>Premissas!$B$12+Premissas!$B$13+Premissas!$B$11*Premissas!$B$9*Premissas!$B$10</f>
        <v>62846.9</v>
      </c>
      <c r="K13" s="6">
        <f>Premissas!$B$14+Premissas!$B$15</f>
        <v>4000</v>
      </c>
      <c r="L13" s="6">
        <f>SUM(E13:K13)</f>
        <v>501549.03171434515</v>
      </c>
      <c r="M13" s="6">
        <f>D13-L13</f>
        <v>1039071.914058492</v>
      </c>
      <c r="N13" s="6">
        <f>N12+M13</f>
        <v>6351190.311133886</v>
      </c>
    </row>
    <row r="14" spans="1:13" s="1" customFormat="1" x14ac:dyDescent="0.25">
      <c r="A14" s="1" t="s">
        <v>55</v>
      </c>
      <c r="B14" s="1" t="s">
        <v>56</v>
      </c>
      <c r="C14" s="1" t="s">
        <v>56</v>
      </c>
      <c r="D14" s="8">
        <f>SUM(D2:D13)</f>
        <v>10384573.657130975</v>
      </c>
      <c r="E14" s="8">
        <f>SUM(E2:E13)</f>
        <v>1557686.0485696462</v>
      </c>
      <c r="F14" s="8">
        <f>SUM(F2:F13)</f>
        <v>363460.07799958414</v>
      </c>
      <c r="G14" s="8">
        <f>SUM(G2:G13)</f>
        <v>346152.45523769915</v>
      </c>
      <c r="H14" s="8">
        <f>SUM(H2:H13)</f>
        <v>276921.96419015934</v>
      </c>
      <c r="I14" s="8">
        <f>SUM(I2:I13)</f>
        <v>687000</v>
      </c>
      <c r="J14" s="8">
        <f>SUM(J2:J13)</f>
        <v>754162.8000000002</v>
      </c>
      <c r="K14" s="8">
        <f>SUM(K2:K13)</f>
        <v>48000</v>
      </c>
      <c r="L14" s="8">
        <f>SUM(L2:L13)</f>
        <v>4033383.345997089</v>
      </c>
      <c r="M14" s="8">
        <f>SUM(M2:M13)</f>
        <v>6351190.311133886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54" customWidth="1"/>
    <col min="2" max="2" width="20" customWidth="1"/>
  </cols>
  <sheetData>
    <row r="1" spans="1:2" s="1" customFormat="1" x14ac:dyDescent="0.25">
      <c r="A1" s="1" t="s">
        <v>57</v>
      </c>
      <c r="B1" s="1" t="s">
        <v>1</v>
      </c>
    </row>
    <row r="2" spans="1:2" x14ac:dyDescent="0.25">
      <c r="A2" t="s">
        <v>58</v>
      </c>
      <c r="B2" s="6">
        <f>'Mensal ano 1'!D14</f>
        <v>10384573.657130975</v>
      </c>
    </row>
    <row r="3" spans="1:2" x14ac:dyDescent="0.25">
      <c r="A3" t="s">
        <v>59</v>
      </c>
      <c r="B3" s="6">
        <f>'Mensal ano 1'!L14</f>
        <v>4033383.345997089</v>
      </c>
    </row>
    <row r="4" spans="1:2" x14ac:dyDescent="0.25">
      <c r="A4" t="s">
        <v>60</v>
      </c>
      <c r="B4" s="6">
        <f>'Mensal ano 1'!M14</f>
        <v>6351190.311133886</v>
      </c>
    </row>
    <row r="5" spans="1:2" x14ac:dyDescent="0.25">
      <c r="A5" t="s">
        <v>61</v>
      </c>
      <c r="B5" s="9">
        <f>B4/B2</f>
        <v>0.6115985615618019</v>
      </c>
    </row>
    <row r="6" spans="1:2" x14ac:dyDescent="0.25">
      <c r="A6" t="s">
        <v>62</v>
      </c>
      <c r="B6" s="6">
        <f>Premissas!B7*(1-Premissas!B20-Premissas!B19)-Premissas!B16-Premissas!B17*Premissas!B18</f>
        <v>113.24999999999999</v>
      </c>
    </row>
    <row r="7" spans="1:2" x14ac:dyDescent="0.25">
      <c r="A7" t="s">
        <v>63</v>
      </c>
      <c r="B7" s="6">
        <f>'Mensal ano 1'!J2+'Mensal ano 1'!K2</f>
        <v>66846.9</v>
      </c>
    </row>
    <row r="8" spans="1:2" x14ac:dyDescent="0.25">
      <c r="A8" t="s">
        <v>64</v>
      </c>
      <c r="B8" s="4">
        <f>ROUNDUP(B7/B6,0)</f>
        <v>591</v>
      </c>
    </row>
    <row r="9" spans="1:2" x14ac:dyDescent="0.25">
      <c r="A9" t="s">
        <v>65</v>
      </c>
      <c r="B9" s="6">
        <f>Premissas!B4*Premissas!B7*12</f>
        <v>411957900</v>
      </c>
    </row>
    <row r="10" spans="1:2" x14ac:dyDescent="0.25">
      <c r="A10" t="s">
        <v>66</v>
      </c>
      <c r="B10" s="6">
        <f>Premissas!B23*Premissas!B7*12</f>
        <v>7015334400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Premissas</vt:lpstr>
      <vt:lpstr>Mensal ano 1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2026-10-23T16:43:11Z</dcterms:created>
  <dcterms:modified xsi:type="dcterms:W3CDTF">2026-10-23T16:43:11Z</dcterms:modified>
</cp:coreProperties>
</file>